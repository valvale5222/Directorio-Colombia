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CO\"/>
    </mc:Choice>
  </mc:AlternateContent>
  <xr:revisionPtr revIDLastSave="0" documentId="13_ncr:1_{8289539A-4EF5-455E-AE2C-A18E0C3ED45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ENTAS" sheetId="5" r:id="rId1"/>
    <sheet name="PIPELINE" sheetId="2" r:id="rId2"/>
    <sheet name="OBJETIVOS" sheetId="4" r:id="rId3"/>
  </sheets>
  <definedNames>
    <definedName name="_xlnm._FilterDatabase" localSheetId="1" hidden="1">PIPELINE!$A$1:$M$32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E21" i="2"/>
  <c r="E16" i="2"/>
  <c r="E25" i="2"/>
  <c r="D5" i="2"/>
  <c r="E5" i="2" s="1"/>
  <c r="E6" i="2" l="1"/>
  <c r="E3" i="2"/>
  <c r="E7" i="2"/>
  <c r="E23" i="2"/>
  <c r="E18" i="2"/>
  <c r="E12" i="2"/>
  <c r="E9" i="2"/>
  <c r="E22" i="2"/>
  <c r="E8" i="2"/>
  <c r="D15" i="2"/>
  <c r="E17" i="2"/>
  <c r="E20" i="2"/>
  <c r="D13" i="2"/>
  <c r="E2" i="2"/>
  <c r="E10" i="2"/>
  <c r="E11" i="2"/>
  <c r="E14" i="2"/>
  <c r="D19" i="2"/>
  <c r="E24" i="2"/>
  <c r="D4" i="2"/>
  <c r="E4" i="2" s="1"/>
</calcChain>
</file>

<file path=xl/sharedStrings.xml><?xml version="1.0" encoding="utf-8"?>
<sst xmlns="http://schemas.openxmlformats.org/spreadsheetml/2006/main" count="549" uniqueCount="175">
  <si>
    <t>Año</t>
  </si>
  <si>
    <t>Fecha</t>
  </si>
  <si>
    <t>Mes</t>
  </si>
  <si>
    <t>Cliente</t>
  </si>
  <si>
    <t>Fruta</t>
  </si>
  <si>
    <t>Refrigerante</t>
  </si>
  <si>
    <t>Vendedor</t>
  </si>
  <si>
    <t>Importe</t>
  </si>
  <si>
    <t>PROYECTO</t>
  </si>
  <si>
    <t>TIPO DE VENTA</t>
  </si>
  <si>
    <t>OCATI S.A.</t>
  </si>
  <si>
    <t>PALTA</t>
  </si>
  <si>
    <t>Freón</t>
  </si>
  <si>
    <t>Misael Estrada</t>
  </si>
  <si>
    <t>Julio</t>
  </si>
  <si>
    <t>OTROS</t>
  </si>
  <si>
    <t>Oficina FP</t>
  </si>
  <si>
    <t>Junio</t>
  </si>
  <si>
    <t>AVOFRUIT S.A.S.</t>
  </si>
  <si>
    <t>Otros</t>
  </si>
  <si>
    <t>Octubre</t>
  </si>
  <si>
    <t>Amoniaco/ Glicol</t>
  </si>
  <si>
    <t>EQUIPO DE REFRIGERACIÓN E INSTALACIÓN</t>
  </si>
  <si>
    <t>AMPLIACION PACKING</t>
  </si>
  <si>
    <t>Abril</t>
  </si>
  <si>
    <t>ISCOL INVESMENTS SAS</t>
  </si>
  <si>
    <t>LIMON / PALTA</t>
  </si>
  <si>
    <t>AMPLIACIÓN PACKING AGUACATE Y LIMON</t>
  </si>
  <si>
    <t>Mayo</t>
  </si>
  <si>
    <t>ELITE BLU SAS</t>
  </si>
  <si>
    <t>ARANDANOS</t>
  </si>
  <si>
    <t>TUNELES DE PREFRIO Y MODIFICACIÓN DE RECEPCIÓN</t>
  </si>
  <si>
    <t>GREEN SUPERFOOD</t>
  </si>
  <si>
    <t>TUNELES DE AGUACATE</t>
  </si>
  <si>
    <t>Agosto</t>
  </si>
  <si>
    <t>GREENYELLOW ENERGÍA DE COLOMBIA S.A.S.</t>
  </si>
  <si>
    <t>MANTENIMINETO ANUAL 2DO AÑO</t>
  </si>
  <si>
    <t>LIMELIGHT SAS</t>
  </si>
  <si>
    <t>Eduardo Narro</t>
  </si>
  <si>
    <t>ESTRUCTURAS METALICAS</t>
  </si>
  <si>
    <t>CAMBIO DE TRAXOL Y ATENCIÓN DE EMERGENCIA</t>
  </si>
  <si>
    <t>Felipe Toro</t>
  </si>
  <si>
    <t>HABILITACIÓN Y CRECIMIENTO DE CUARTO DE DEVOLUCIONES</t>
  </si>
  <si>
    <t>CONSTRUCCIÓN DE TUNELES DE FRIO Y ANDENES DE CARGA</t>
  </si>
  <si>
    <t>Marzo</t>
  </si>
  <si>
    <t>DREAM BERRIES</t>
  </si>
  <si>
    <t>Enero</t>
  </si>
  <si>
    <t>GULUPA</t>
  </si>
  <si>
    <t>Alvaro Chavez</t>
  </si>
  <si>
    <t>SONDAS DE PINCHAR</t>
  </si>
  <si>
    <t>FRUTI GREEN PACKING</t>
  </si>
  <si>
    <t>HELICE</t>
  </si>
  <si>
    <t>ARCANGEL MIGUEL INTERNACIONAL</t>
  </si>
  <si>
    <t>CONTROLADOR DIXELL</t>
  </si>
  <si>
    <t>CLIENTE</t>
  </si>
  <si>
    <t>PRODUCTO</t>
  </si>
  <si>
    <t>IMPORTE ($)
 Pesos Col</t>
  </si>
  <si>
    <t>DOLARES</t>
  </si>
  <si>
    <t>MARGEN COMERCIAL</t>
  </si>
  <si>
    <t>MES DE CIERRE</t>
  </si>
  <si>
    <t>PROB DE CIERRE</t>
  </si>
  <si>
    <t>STATUS</t>
  </si>
  <si>
    <t>REFRIGERANTE</t>
  </si>
  <si>
    <t>AGRO/NO AGRO</t>
  </si>
  <si>
    <t>IBAZAN (CEDI YUMBO)</t>
  </si>
  <si>
    <t>CEDI</t>
  </si>
  <si>
    <t>Centro logistico</t>
  </si>
  <si>
    <t>Negociación</t>
  </si>
  <si>
    <t>CO2</t>
  </si>
  <si>
    <t>AGRO</t>
  </si>
  <si>
    <t>PR</t>
  </si>
  <si>
    <t>IBAZAN (CEDI B/QUILLA)</t>
  </si>
  <si>
    <t>Ratios CO2</t>
  </si>
  <si>
    <t>En proceso de cotización</t>
  </si>
  <si>
    <t>NO AGRO</t>
  </si>
  <si>
    <t>OCATI</t>
  </si>
  <si>
    <t>MOVIM DESVERDIZADO</t>
  </si>
  <si>
    <t>Gulupa</t>
  </si>
  <si>
    <t>FREON</t>
  </si>
  <si>
    <t>VS</t>
  </si>
  <si>
    <t>COLFRUTAS</t>
  </si>
  <si>
    <t>CUARTOS DE FRIO</t>
  </si>
  <si>
    <t xml:space="preserve"> PLÁTANOS</t>
  </si>
  <si>
    <t>HORTIFRUT</t>
  </si>
  <si>
    <t xml:space="preserve">Centro de acopio </t>
  </si>
  <si>
    <t>Flores</t>
  </si>
  <si>
    <t>Thermo logistica - Green Yellow / GRUPO 13</t>
  </si>
  <si>
    <t>Prospecto</t>
  </si>
  <si>
    <t>AMONIACO</t>
  </si>
  <si>
    <t xml:space="preserve">QBCO CF </t>
  </si>
  <si>
    <t>2 CUARTOS Y 1 TUNEL DE CONGELAMIENTO</t>
  </si>
  <si>
    <t>CARNICOS</t>
  </si>
  <si>
    <t>En análisis</t>
  </si>
  <si>
    <t>FRIGORIFICO DE PEREIRA</t>
  </si>
  <si>
    <t>CUARTO FRIO</t>
  </si>
  <si>
    <t>Cancelado</t>
  </si>
  <si>
    <t>PROPANO</t>
  </si>
  <si>
    <t>FRIGOTIMANÁ</t>
  </si>
  <si>
    <t>CUARTO DE CANALES (Cerdo)</t>
  </si>
  <si>
    <t>GREENLAND</t>
  </si>
  <si>
    <t xml:space="preserve">Planta de proceso </t>
  </si>
  <si>
    <t>AGUACATE</t>
  </si>
  <si>
    <t>Postpuesto</t>
  </si>
  <si>
    <t>QBCO BUGA</t>
  </si>
  <si>
    <t>SALSAS</t>
  </si>
  <si>
    <t>QBCO LLANO</t>
  </si>
  <si>
    <t>Repotenciación de tunel</t>
  </si>
  <si>
    <t>Carnicos</t>
  </si>
  <si>
    <t xml:space="preserve">QBCO BUGA </t>
  </si>
  <si>
    <t>PROYECTO DE EQUIPOS DE AMONIACO PARA CUARTO DE MARGARINAS</t>
  </si>
  <si>
    <t>Lacteos</t>
  </si>
  <si>
    <t>Mantenimiento equipos existentes</t>
  </si>
  <si>
    <t xml:space="preserve">MACUFRUITS </t>
  </si>
  <si>
    <t>COLDTAINER</t>
  </si>
  <si>
    <t>VIRU</t>
  </si>
  <si>
    <t>DESMONTE EQUIPOS</t>
  </si>
  <si>
    <t xml:space="preserve"> Packing Coexsa (Honduras)</t>
  </si>
  <si>
    <t>Suministro equipos, panales, puertas, ingeniería, supervisión</t>
  </si>
  <si>
    <t>Aguacate</t>
  </si>
  <si>
    <t xml:space="preserve">JARDIN EXOTICS </t>
  </si>
  <si>
    <t>(COLDTAINER)</t>
  </si>
  <si>
    <t xml:space="preserve">GREEN SUPERFOOD </t>
  </si>
  <si>
    <t>TELEMETRIA</t>
  </si>
  <si>
    <t>Perdido</t>
  </si>
  <si>
    <t>MACUFRUITS</t>
  </si>
  <si>
    <t xml:space="preserve"> (PACKING)</t>
  </si>
  <si>
    <t>Rambutan</t>
  </si>
  <si>
    <t xml:space="preserve">FRIOGAN </t>
  </si>
  <si>
    <t>CUARTOS FRIOS</t>
  </si>
  <si>
    <t xml:space="preserve">PLANTA PROCESO </t>
  </si>
  <si>
    <t>FRESAS</t>
  </si>
  <si>
    <t>FRIOGAN (Villavicencio)</t>
  </si>
  <si>
    <t>AMONÍACO</t>
  </si>
  <si>
    <t>DERIVADOS LACTEOS QBCO DL</t>
  </si>
  <si>
    <t xml:space="preserve">TUNEL Y CUARTO FRIO </t>
  </si>
  <si>
    <t>Queso</t>
  </si>
  <si>
    <t xml:space="preserve">Climatización de oficinas </t>
  </si>
  <si>
    <t>Oficinas</t>
  </si>
  <si>
    <t>MMTO ANUAL</t>
  </si>
  <si>
    <t>Arandanos</t>
  </si>
  <si>
    <t>ENTROPICOS</t>
  </si>
  <si>
    <t>LIMON</t>
  </si>
  <si>
    <t>GRUPO 13 (TKARGA)</t>
  </si>
  <si>
    <t>THE ELITE FLOWER SAS</t>
  </si>
  <si>
    <t>PLANTA PROCESO DE FLORES</t>
  </si>
  <si>
    <t>ARBA</t>
  </si>
  <si>
    <t xml:space="preserve">Cuarto de prefrio </t>
  </si>
  <si>
    <t>VPC COLOMBIA SAS</t>
  </si>
  <si>
    <t>Cuartos de conservacion Frutas</t>
  </si>
  <si>
    <t>Frutas</t>
  </si>
  <si>
    <t>OBJETIVO 1 · Lograr objetivo de ventas de $5MM con margen operativo 18%</t>
  </si>
  <si>
    <t>OBJETIVO 3 · Incorporar 4 nuevos clientes fuera del Agro</t>
  </si>
  <si>
    <t>OBJETIVO 4 · Alcanzar USD 500K en proyectos sin frío (OOCC + EEMM)</t>
  </si>
  <si>
    <t>WESTPACK AVOCADO</t>
  </si>
  <si>
    <t>EMPACADORA DE ARÁNDANOS</t>
  </si>
  <si>
    <t>EMERGENT COLD</t>
  </si>
  <si>
    <t>CEDI BARRANQUILLA</t>
  </si>
  <si>
    <t>$1,000,000.00</t>
  </si>
  <si>
    <t>AÑO</t>
  </si>
  <si>
    <t>FECHA</t>
  </si>
  <si>
    <t>MES</t>
  </si>
  <si>
    <t>IMPORTE</t>
  </si>
  <si>
    <t>MARGEN COMERCIAL %</t>
  </si>
  <si>
    <t>DESCRIPCIÓN</t>
  </si>
  <si>
    <t>OBJETIVO 2 · Ejecutar 4 proyectos con refrigerantes CO₂ / NH₃</t>
  </si>
  <si>
    <t>CEDI+ MMTO Anual</t>
  </si>
  <si>
    <t xml:space="preserve">DESCRIPCIÓN </t>
  </si>
  <si>
    <t>AD</t>
  </si>
  <si>
    <t>AMPLIACIÓN PACKING DE CARTAMA PEREIRA</t>
  </si>
  <si>
    <t>INGENIERÍA DE REFRIGERACIÓN</t>
  </si>
  <si>
    <t>ARQUITECTURA</t>
  </si>
  <si>
    <t>Vivian Castrillon</t>
  </si>
  <si>
    <t>OO.CC Y EE.MM</t>
  </si>
  <si>
    <t>Margen Comercial</t>
  </si>
  <si>
    <t>Trabajarlo / El comparativo también sigue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</si>
</sst>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$]#,##0"/>
    <numFmt numFmtId="165" formatCode="[$$]#,##0.00"/>
    <numFmt numFmtId="166" formatCode="[$$-540A]#,##0.00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7" fillId="0" borderId="0" xfId="0" applyFont="1"/>
    <xf numFmtId="0" fontId="7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0" fillId="4" borderId="0" xfId="0" applyFill="1"/>
    <xf numFmtId="16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166" fontId="7" fillId="0" borderId="0" xfId="0" applyNumberFormat="1" applyFont="1"/>
    <xf numFmtId="9" fontId="0" fillId="0" borderId="0" xfId="1" applyFont="1"/>
    <xf numFmtId="0" fontId="3" fillId="0" borderId="4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3">
    <cellStyle name="Millares 12" xfId="2" xr:uid="{938D1D8F-423C-46A2-80B6-3BA5B9FE60E1}"/>
    <cellStyle name="Normal" xfId="0" builtinId="0"/>
    <cellStyle name="Porcentaje" xfId="1" builtinId="5"/>
  </cellStyles>
  <dxfs count="4">
    <dxf>
      <alignment horizontal="general" vertical="bottom" textRotation="0" wrapText="1" indent="0" justifyLastLine="0" shrinkToFit="0" readingOrder="0"/>
    </dxf>
    <dxf>
      <numFmt numFmtId="166" formatCode="[$$-540A]#,##0.00"/>
    </dxf>
    <dxf>
      <numFmt numFmtId="166" formatCode="[$$-540A]#,##0.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52D7B-75D2-4DEB-B1B4-99696ADFC19C}" name="Tabla2" displayName="Tabla2" ref="A1:K20" totalsRowShown="0">
  <autoFilter ref="A1:K20" xr:uid="{E1852D7B-75D2-4DEB-B1B4-99696ADFC19C}"/>
  <tableColumns count="11">
    <tableColumn id="1" xr3:uid="{411C3C46-EBFC-4D48-8842-7EE8AF54318B}" name="Año"/>
    <tableColumn id="2" xr3:uid="{BCED6892-CBF5-47F4-90D8-5E0F7EF3614C}" name="Fecha" dataDxfId="3"/>
    <tableColumn id="3" xr3:uid="{5950D3C6-4613-4E2B-B2D5-71D4A5CA6FA8}" name="Mes"/>
    <tableColumn id="4" xr3:uid="{BE467EC9-02B0-480E-AB9C-9BA0A6E185C3}" name="Cliente"/>
    <tableColumn id="5" xr3:uid="{EDE9E556-147E-4D10-8335-8EC711DD3923}" name="Fruta"/>
    <tableColumn id="6" xr3:uid="{F979A1CF-0F48-4D3C-8C56-1207DEDF0778}" name="Refrigerante"/>
    <tableColumn id="7" xr3:uid="{FE8E551C-2897-4AA5-B2E3-0BAA752ACE7E}" name="Vendedor"/>
    <tableColumn id="8" xr3:uid="{CBFB6753-9233-41EE-ABC8-FDA8FEA96895}" name="Importe" dataDxfId="2"/>
    <tableColumn id="12" xr3:uid="{ED265616-FD26-4229-B707-979052B38242}" name="Margen Comercial" dataDxfId="1"/>
    <tableColumn id="9" xr3:uid="{8FCE5775-24BB-410F-A474-FA1B23CDBB2D}" name="TIPO DE VENTA"/>
    <tableColumn id="10" xr3:uid="{BF41830A-D90E-4583-8025-975A68C89066}" name="DESCRIPCIÓN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9008-7B97-460B-9DDD-BF5D5D1F89A9}">
  <dimension ref="A1:K24"/>
  <sheetViews>
    <sheetView topLeftCell="A12" workbookViewId="0">
      <selection activeCell="A23" sqref="A23:J42"/>
    </sheetView>
  </sheetViews>
  <sheetFormatPr baseColWidth="10" defaultRowHeight="13.2" x14ac:dyDescent="0.25"/>
  <cols>
    <col min="2" max="2" width="11.5546875" style="39"/>
    <col min="4" max="4" width="33.21875" customWidth="1"/>
    <col min="5" max="5" width="0" hidden="1" customWidth="1"/>
    <col min="6" max="6" width="13.6640625" hidden="1" customWidth="1"/>
    <col min="7" max="7" width="0" hidden="1" customWidth="1"/>
    <col min="8" max="8" width="22" style="38" hidden="1" customWidth="1"/>
    <col min="9" max="9" width="16.109375" style="38" customWidth="1"/>
    <col min="10" max="10" width="16.88671875" customWidth="1"/>
    <col min="11" max="11" width="63.33203125" style="37" customWidth="1"/>
  </cols>
  <sheetData>
    <row r="1" spans="1:11" x14ac:dyDescent="0.25">
      <c r="A1" t="s">
        <v>0</v>
      </c>
      <c r="B1" s="3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8" t="s">
        <v>7</v>
      </c>
      <c r="I1" s="44" t="s">
        <v>173</v>
      </c>
      <c r="J1" t="s">
        <v>9</v>
      </c>
      <c r="K1" s="37" t="s">
        <v>166</v>
      </c>
    </row>
    <row r="2" spans="1:11" x14ac:dyDescent="0.25">
      <c r="A2">
        <v>2023</v>
      </c>
      <c r="B2" s="39">
        <v>45149</v>
      </c>
      <c r="C2" t="s">
        <v>34</v>
      </c>
      <c r="D2" t="s">
        <v>35</v>
      </c>
      <c r="E2" t="s">
        <v>15</v>
      </c>
      <c r="F2" t="s">
        <v>12</v>
      </c>
      <c r="G2" t="s">
        <v>16</v>
      </c>
      <c r="H2" s="38">
        <v>697232.96000000008</v>
      </c>
      <c r="I2" s="45">
        <v>0.2</v>
      </c>
      <c r="J2" t="s">
        <v>167</v>
      </c>
      <c r="K2" s="37" t="s">
        <v>168</v>
      </c>
    </row>
    <row r="3" spans="1:11" x14ac:dyDescent="0.25">
      <c r="A3">
        <v>2024</v>
      </c>
      <c r="B3" s="39">
        <v>45407</v>
      </c>
      <c r="C3" t="s">
        <v>24</v>
      </c>
      <c r="D3" t="s">
        <v>18</v>
      </c>
      <c r="E3" t="s">
        <v>11</v>
      </c>
      <c r="F3" t="s">
        <v>21</v>
      </c>
      <c r="G3" t="s">
        <v>13</v>
      </c>
      <c r="H3" s="38">
        <v>48000</v>
      </c>
      <c r="I3" s="45">
        <v>0.2</v>
      </c>
      <c r="J3" t="s">
        <v>79</v>
      </c>
      <c r="K3" s="37" t="s">
        <v>169</v>
      </c>
    </row>
    <row r="4" spans="1:11" x14ac:dyDescent="0.25">
      <c r="A4">
        <v>2024</v>
      </c>
      <c r="B4" s="39">
        <v>45407</v>
      </c>
      <c r="C4" t="s">
        <v>24</v>
      </c>
      <c r="D4" t="s">
        <v>18</v>
      </c>
      <c r="E4" t="s">
        <v>11</v>
      </c>
      <c r="F4" t="s">
        <v>21</v>
      </c>
      <c r="G4" t="s">
        <v>13</v>
      </c>
      <c r="H4" s="38">
        <v>39900</v>
      </c>
      <c r="I4" s="45">
        <v>0.2</v>
      </c>
      <c r="J4" t="s">
        <v>79</v>
      </c>
      <c r="K4" s="37" t="s">
        <v>170</v>
      </c>
    </row>
    <row r="5" spans="1:11" x14ac:dyDescent="0.25">
      <c r="A5">
        <v>2024</v>
      </c>
      <c r="B5" s="39">
        <v>45596</v>
      </c>
      <c r="C5" t="s">
        <v>20</v>
      </c>
      <c r="D5" t="s">
        <v>18</v>
      </c>
      <c r="E5" t="s">
        <v>11</v>
      </c>
      <c r="F5" t="s">
        <v>21</v>
      </c>
      <c r="G5" t="s">
        <v>13</v>
      </c>
      <c r="H5" s="38">
        <v>5167633.9000000004</v>
      </c>
      <c r="I5" s="45">
        <v>0.2</v>
      </c>
      <c r="J5" t="s">
        <v>70</v>
      </c>
      <c r="K5" s="37" t="s">
        <v>22</v>
      </c>
    </row>
    <row r="6" spans="1:11" x14ac:dyDescent="0.25">
      <c r="A6">
        <v>2025</v>
      </c>
      <c r="B6" s="39">
        <v>45757</v>
      </c>
      <c r="C6" t="s">
        <v>24</v>
      </c>
      <c r="D6" t="s">
        <v>25</v>
      </c>
      <c r="E6" t="s">
        <v>26</v>
      </c>
      <c r="F6" t="s">
        <v>12</v>
      </c>
      <c r="G6" t="s">
        <v>13</v>
      </c>
      <c r="H6" s="38">
        <v>149637</v>
      </c>
      <c r="I6" s="45">
        <v>0.17</v>
      </c>
      <c r="J6" t="s">
        <v>70</v>
      </c>
      <c r="K6" s="37" t="s">
        <v>27</v>
      </c>
    </row>
    <row r="7" spans="1:11" x14ac:dyDescent="0.25">
      <c r="A7">
        <v>2025</v>
      </c>
      <c r="B7" s="39">
        <v>45761</v>
      </c>
      <c r="C7" t="s">
        <v>24</v>
      </c>
      <c r="D7" t="s">
        <v>25</v>
      </c>
      <c r="E7" t="s">
        <v>26</v>
      </c>
      <c r="F7" t="s">
        <v>12</v>
      </c>
      <c r="G7" t="s">
        <v>13</v>
      </c>
      <c r="H7" s="38">
        <v>261514.72</v>
      </c>
      <c r="I7" s="45">
        <v>0.17</v>
      </c>
      <c r="J7" t="s">
        <v>70</v>
      </c>
      <c r="K7" s="37" t="s">
        <v>27</v>
      </c>
    </row>
    <row r="8" spans="1:11" x14ac:dyDescent="0.25">
      <c r="A8">
        <v>2025</v>
      </c>
      <c r="B8" s="39">
        <v>45796</v>
      </c>
      <c r="C8" t="s">
        <v>28</v>
      </c>
      <c r="D8" t="s">
        <v>29</v>
      </c>
      <c r="E8" t="s">
        <v>30</v>
      </c>
      <c r="F8" t="s">
        <v>19</v>
      </c>
      <c r="G8" t="s">
        <v>13</v>
      </c>
      <c r="H8" s="38">
        <v>130209.7</v>
      </c>
      <c r="I8" s="45">
        <v>0.17</v>
      </c>
      <c r="J8" t="s">
        <v>167</v>
      </c>
      <c r="K8" s="37" t="s">
        <v>31</v>
      </c>
    </row>
    <row r="9" spans="1:11" x14ac:dyDescent="0.25">
      <c r="A9">
        <v>2025</v>
      </c>
      <c r="B9" s="39">
        <v>45818</v>
      </c>
      <c r="C9" t="s">
        <v>17</v>
      </c>
      <c r="D9" t="s">
        <v>35</v>
      </c>
      <c r="E9" t="s">
        <v>15</v>
      </c>
      <c r="F9" t="s">
        <v>19</v>
      </c>
      <c r="G9" t="s">
        <v>38</v>
      </c>
      <c r="H9" s="38">
        <v>1640.08</v>
      </c>
      <c r="I9" s="45">
        <v>0.18</v>
      </c>
      <c r="J9" t="s">
        <v>79</v>
      </c>
      <c r="K9" s="37" t="s">
        <v>40</v>
      </c>
    </row>
    <row r="10" spans="1:11" x14ac:dyDescent="0.25">
      <c r="A10">
        <v>2025</v>
      </c>
      <c r="B10" s="39">
        <v>45835</v>
      </c>
      <c r="C10" t="s">
        <v>17</v>
      </c>
      <c r="D10" t="s">
        <v>32</v>
      </c>
      <c r="E10" t="s">
        <v>11</v>
      </c>
      <c r="F10" t="s">
        <v>12</v>
      </c>
      <c r="G10" t="s">
        <v>13</v>
      </c>
      <c r="H10" s="38">
        <v>120684.94</v>
      </c>
      <c r="I10" s="45">
        <v>0.18</v>
      </c>
      <c r="J10" t="s">
        <v>70</v>
      </c>
      <c r="K10" s="37" t="s">
        <v>33</v>
      </c>
    </row>
    <row r="11" spans="1:11" x14ac:dyDescent="0.25">
      <c r="A11">
        <v>2025</v>
      </c>
      <c r="B11" s="39">
        <v>45841</v>
      </c>
      <c r="C11" t="s">
        <v>14</v>
      </c>
      <c r="D11" t="s">
        <v>153</v>
      </c>
      <c r="E11" t="s">
        <v>11</v>
      </c>
      <c r="F11" t="s">
        <v>12</v>
      </c>
      <c r="G11" t="s">
        <v>13</v>
      </c>
      <c r="H11" s="38">
        <v>1206011</v>
      </c>
      <c r="I11" s="45">
        <v>0.18</v>
      </c>
      <c r="J11" t="s">
        <v>70</v>
      </c>
      <c r="K11" s="37" t="s">
        <v>43</v>
      </c>
    </row>
    <row r="12" spans="1:11" x14ac:dyDescent="0.25">
      <c r="A12">
        <v>2025</v>
      </c>
      <c r="B12" s="39">
        <v>45862</v>
      </c>
      <c r="C12" t="s">
        <v>14</v>
      </c>
      <c r="D12" t="s">
        <v>29</v>
      </c>
      <c r="E12" t="s">
        <v>30</v>
      </c>
      <c r="F12" t="s">
        <v>19</v>
      </c>
      <c r="G12" t="s">
        <v>41</v>
      </c>
      <c r="H12" s="38">
        <v>868</v>
      </c>
      <c r="I12" s="45">
        <v>0.18</v>
      </c>
      <c r="J12" t="s">
        <v>167</v>
      </c>
      <c r="K12" s="37" t="s">
        <v>42</v>
      </c>
    </row>
    <row r="13" spans="1:11" x14ac:dyDescent="0.25">
      <c r="A13">
        <v>2025</v>
      </c>
      <c r="B13" s="39">
        <v>45881</v>
      </c>
      <c r="C13" t="s">
        <v>34</v>
      </c>
      <c r="D13" t="s">
        <v>35</v>
      </c>
      <c r="E13" t="s">
        <v>15</v>
      </c>
      <c r="F13" t="s">
        <v>19</v>
      </c>
      <c r="G13" t="s">
        <v>13</v>
      </c>
      <c r="H13" s="38">
        <v>30840</v>
      </c>
      <c r="I13" s="45">
        <v>0.18</v>
      </c>
      <c r="J13" t="s">
        <v>79</v>
      </c>
      <c r="K13" s="37" t="s">
        <v>36</v>
      </c>
    </row>
    <row r="14" spans="1:11" x14ac:dyDescent="0.25">
      <c r="A14">
        <v>2025</v>
      </c>
      <c r="B14" s="39">
        <v>45960</v>
      </c>
      <c r="C14" t="s">
        <v>20</v>
      </c>
      <c r="D14" t="s">
        <v>37</v>
      </c>
      <c r="E14" t="s">
        <v>15</v>
      </c>
      <c r="F14" t="s">
        <v>19</v>
      </c>
      <c r="G14" t="s">
        <v>38</v>
      </c>
      <c r="H14" s="38">
        <v>3833.2757499999998</v>
      </c>
      <c r="I14" s="45">
        <v>0.18</v>
      </c>
      <c r="J14" t="s">
        <v>70</v>
      </c>
      <c r="K14" s="37" t="s">
        <v>39</v>
      </c>
    </row>
    <row r="15" spans="1:11" x14ac:dyDescent="0.25">
      <c r="A15">
        <v>2026</v>
      </c>
      <c r="B15" s="39">
        <v>46041</v>
      </c>
      <c r="C15" t="s">
        <v>46</v>
      </c>
      <c r="D15" t="s">
        <v>18</v>
      </c>
      <c r="E15" t="s">
        <v>15</v>
      </c>
      <c r="F15" t="s">
        <v>19</v>
      </c>
      <c r="G15" t="s">
        <v>38</v>
      </c>
      <c r="H15" s="38">
        <v>1850</v>
      </c>
      <c r="I15" s="45">
        <v>0.18</v>
      </c>
      <c r="J15" t="s">
        <v>167</v>
      </c>
      <c r="K15" s="37" t="s">
        <v>49</v>
      </c>
    </row>
    <row r="16" spans="1:11" x14ac:dyDescent="0.25">
      <c r="A16">
        <v>2026</v>
      </c>
      <c r="B16" s="39">
        <v>46041</v>
      </c>
      <c r="C16" t="s">
        <v>46</v>
      </c>
      <c r="D16" t="s">
        <v>52</v>
      </c>
      <c r="E16" t="s">
        <v>15</v>
      </c>
      <c r="F16" t="s">
        <v>19</v>
      </c>
      <c r="G16" t="s">
        <v>38</v>
      </c>
      <c r="H16" s="38">
        <v>300</v>
      </c>
      <c r="I16" s="45">
        <v>0.18</v>
      </c>
      <c r="J16" t="s">
        <v>167</v>
      </c>
      <c r="K16" s="37" t="s">
        <v>53</v>
      </c>
    </row>
    <row r="17" spans="1:11" x14ac:dyDescent="0.25">
      <c r="A17">
        <v>2026</v>
      </c>
      <c r="B17" s="39">
        <v>46047</v>
      </c>
      <c r="C17" t="s">
        <v>46</v>
      </c>
      <c r="D17" t="s">
        <v>50</v>
      </c>
      <c r="E17" t="s">
        <v>15</v>
      </c>
      <c r="F17" t="s">
        <v>19</v>
      </c>
      <c r="G17" t="s">
        <v>38</v>
      </c>
      <c r="H17" s="38">
        <v>1298.6300000000001</v>
      </c>
      <c r="I17" s="45">
        <v>0.18</v>
      </c>
      <c r="J17" t="s">
        <v>167</v>
      </c>
      <c r="K17" s="37" t="s">
        <v>51</v>
      </c>
    </row>
    <row r="18" spans="1:11" x14ac:dyDescent="0.25">
      <c r="A18">
        <v>2026</v>
      </c>
      <c r="B18" s="39">
        <v>46052</v>
      </c>
      <c r="C18" t="s">
        <v>46</v>
      </c>
      <c r="D18" t="s">
        <v>10</v>
      </c>
      <c r="E18" t="s">
        <v>47</v>
      </c>
      <c r="F18" t="s">
        <v>12</v>
      </c>
      <c r="G18" t="s">
        <v>48</v>
      </c>
      <c r="H18" s="38">
        <v>92832</v>
      </c>
      <c r="I18" s="45">
        <v>0.17</v>
      </c>
      <c r="J18" t="s">
        <v>70</v>
      </c>
      <c r="K18" s="37" t="s">
        <v>23</v>
      </c>
    </row>
    <row r="19" spans="1:11" x14ac:dyDescent="0.25">
      <c r="A19">
        <v>2026</v>
      </c>
      <c r="B19" s="39">
        <v>46111</v>
      </c>
      <c r="C19" t="s">
        <v>44</v>
      </c>
      <c r="D19" t="s">
        <v>45</v>
      </c>
      <c r="E19" t="s">
        <v>30</v>
      </c>
      <c r="F19" t="s">
        <v>12</v>
      </c>
      <c r="G19" t="s">
        <v>38</v>
      </c>
      <c r="H19" s="38">
        <v>749045</v>
      </c>
      <c r="I19" s="45">
        <v>0.17</v>
      </c>
      <c r="J19" t="s">
        <v>70</v>
      </c>
      <c r="K19" s="37" t="s">
        <v>154</v>
      </c>
    </row>
    <row r="20" spans="1:11" x14ac:dyDescent="0.25">
      <c r="A20">
        <v>2026</v>
      </c>
      <c r="B20" s="39">
        <v>46233</v>
      </c>
      <c r="C20" s="1" t="s">
        <v>14</v>
      </c>
      <c r="D20" t="s">
        <v>32</v>
      </c>
      <c r="E20" t="s">
        <v>118</v>
      </c>
      <c r="F20" t="s">
        <v>12</v>
      </c>
      <c r="G20" s="1" t="s">
        <v>171</v>
      </c>
      <c r="H20" s="38">
        <v>1239.194476744186</v>
      </c>
      <c r="I20" s="45">
        <v>0.18</v>
      </c>
      <c r="J20" t="s">
        <v>79</v>
      </c>
      <c r="K20" s="37" t="s">
        <v>122</v>
      </c>
    </row>
    <row r="24" spans="1:11" x14ac:dyDescent="0.25">
      <c r="H24"/>
      <c r="I2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X32"/>
  <sheetViews>
    <sheetView tabSelected="1" topLeftCell="A15" workbookViewId="0">
      <selection activeCell="G33" sqref="G33"/>
    </sheetView>
  </sheetViews>
  <sheetFormatPr baseColWidth="10" defaultColWidth="12.6640625" defaultRowHeight="27" customHeight="1" x14ac:dyDescent="0.25"/>
  <cols>
    <col min="1" max="1" width="40.77734375" customWidth="1"/>
    <col min="2" max="2" width="25.33203125" customWidth="1"/>
    <col min="3" max="3" width="12.6640625" customWidth="1"/>
    <col min="4" max="4" width="15.6640625" customWidth="1"/>
    <col min="5" max="5" width="17" customWidth="1"/>
    <col min="6" max="6" width="12.6640625" customWidth="1"/>
    <col min="7" max="7" width="15.6640625" customWidth="1"/>
    <col min="9" max="9" width="13.6640625" customWidth="1"/>
    <col min="12" max="12" width="0" hidden="1" customWidth="1"/>
  </cols>
  <sheetData>
    <row r="1" spans="1:14" ht="27" customHeight="1" x14ac:dyDescent="0.25">
      <c r="A1" s="3" t="s">
        <v>54</v>
      </c>
      <c r="B1" s="3" t="s">
        <v>8</v>
      </c>
      <c r="C1" s="4" t="s">
        <v>55</v>
      </c>
      <c r="D1" s="4" t="s">
        <v>56</v>
      </c>
      <c r="E1" s="5" t="s">
        <v>57</v>
      </c>
      <c r="F1" s="3" t="s">
        <v>58</v>
      </c>
      <c r="G1" s="6" t="s">
        <v>59</v>
      </c>
      <c r="H1" s="7" t="s">
        <v>60</v>
      </c>
      <c r="I1" s="3" t="s">
        <v>61</v>
      </c>
      <c r="J1" s="3" t="s">
        <v>62</v>
      </c>
      <c r="K1" s="3" t="s">
        <v>63</v>
      </c>
      <c r="L1" s="3" t="s">
        <v>9</v>
      </c>
      <c r="M1" s="3" t="s">
        <v>158</v>
      </c>
    </row>
    <row r="2" spans="1:14" ht="27" customHeight="1" x14ac:dyDescent="0.25">
      <c r="A2" s="8" t="s">
        <v>99</v>
      </c>
      <c r="B2" s="13" t="s">
        <v>100</v>
      </c>
      <c r="C2" s="8" t="s">
        <v>101</v>
      </c>
      <c r="D2" s="9">
        <v>8000264282</v>
      </c>
      <c r="E2" s="10">
        <f>D2/3440</f>
        <v>2325658.221511628</v>
      </c>
      <c r="F2" s="11">
        <v>0.18</v>
      </c>
      <c r="G2" s="31">
        <v>3</v>
      </c>
      <c r="H2" s="11">
        <v>0.4</v>
      </c>
      <c r="I2" s="8" t="s">
        <v>102</v>
      </c>
      <c r="J2" s="8" t="s">
        <v>68</v>
      </c>
      <c r="K2" s="8" t="s">
        <v>69</v>
      </c>
      <c r="L2" s="8" t="s">
        <v>70</v>
      </c>
      <c r="M2" s="8">
        <v>2027</v>
      </c>
    </row>
    <row r="3" spans="1:14" ht="27" customHeight="1" x14ac:dyDescent="0.25">
      <c r="A3" s="8" t="s">
        <v>142</v>
      </c>
      <c r="B3" s="8" t="s">
        <v>65</v>
      </c>
      <c r="C3" s="9" t="s">
        <v>66</v>
      </c>
      <c r="D3" s="14">
        <v>4959914045</v>
      </c>
      <c r="E3" s="10">
        <f>D3/3440</f>
        <v>1441835.4781976745</v>
      </c>
      <c r="F3" s="11">
        <v>0.18</v>
      </c>
      <c r="G3" s="31">
        <v>1</v>
      </c>
      <c r="H3" s="11">
        <v>0.05</v>
      </c>
      <c r="I3" s="8" t="s">
        <v>102</v>
      </c>
      <c r="J3" s="8" t="s">
        <v>78</v>
      </c>
      <c r="K3" s="8" t="s">
        <v>74</v>
      </c>
      <c r="L3" s="8" t="s">
        <v>70</v>
      </c>
      <c r="M3" s="8">
        <v>2027</v>
      </c>
    </row>
    <row r="4" spans="1:14" ht="27" customHeight="1" x14ac:dyDescent="0.25">
      <c r="A4" s="8" t="s">
        <v>71</v>
      </c>
      <c r="B4" s="8" t="s">
        <v>72</v>
      </c>
      <c r="C4" s="9" t="s">
        <v>66</v>
      </c>
      <c r="D4" s="9">
        <f>1200000*3440</f>
        <v>4128000000</v>
      </c>
      <c r="E4" s="10">
        <f>D4/3440</f>
        <v>1200000</v>
      </c>
      <c r="F4" s="11">
        <v>0.18</v>
      </c>
      <c r="G4" s="31">
        <v>1</v>
      </c>
      <c r="H4" s="11">
        <v>0.4</v>
      </c>
      <c r="I4" s="8" t="s">
        <v>73</v>
      </c>
      <c r="J4" s="8" t="s">
        <v>68</v>
      </c>
      <c r="K4" s="8" t="s">
        <v>74</v>
      </c>
      <c r="L4" s="8" t="s">
        <v>70</v>
      </c>
      <c r="M4" s="8">
        <v>2027</v>
      </c>
    </row>
    <row r="5" spans="1:14" ht="27" customHeight="1" x14ac:dyDescent="0.25">
      <c r="A5" s="8" t="s">
        <v>64</v>
      </c>
      <c r="B5" s="8" t="s">
        <v>165</v>
      </c>
      <c r="C5" s="9" t="s">
        <v>66</v>
      </c>
      <c r="D5" s="23">
        <f>1912997580+1118985120</f>
        <v>3031982700</v>
      </c>
      <c r="E5" s="10">
        <f>D5/3200</f>
        <v>947494.59375</v>
      </c>
      <c r="F5" s="11">
        <v>0.18</v>
      </c>
      <c r="G5" s="12">
        <v>8</v>
      </c>
      <c r="H5" s="11">
        <v>0.8</v>
      </c>
      <c r="I5" s="8" t="s">
        <v>67</v>
      </c>
      <c r="J5" s="8" t="s">
        <v>68</v>
      </c>
      <c r="K5" s="8" t="s">
        <v>74</v>
      </c>
      <c r="L5" s="8" t="s">
        <v>70</v>
      </c>
      <c r="M5" s="8">
        <v>2026</v>
      </c>
    </row>
    <row r="6" spans="1:14" ht="27" customHeight="1" x14ac:dyDescent="0.25">
      <c r="A6" s="8" t="s">
        <v>143</v>
      </c>
      <c r="B6" s="8" t="s">
        <v>144</v>
      </c>
      <c r="C6" s="9" t="s">
        <v>85</v>
      </c>
      <c r="D6" s="9">
        <v>1922751725</v>
      </c>
      <c r="E6" s="10">
        <f>D6/3440</f>
        <v>558939.45494186052</v>
      </c>
      <c r="F6" s="11">
        <v>0.18</v>
      </c>
      <c r="G6" s="12">
        <v>10</v>
      </c>
      <c r="H6" s="11">
        <v>0.2</v>
      </c>
      <c r="I6" s="8" t="s">
        <v>102</v>
      </c>
      <c r="J6" s="8" t="s">
        <v>96</v>
      </c>
      <c r="K6" s="8" t="s">
        <v>69</v>
      </c>
      <c r="L6" s="8" t="s">
        <v>70</v>
      </c>
      <c r="M6" s="8">
        <v>2026</v>
      </c>
      <c r="N6" s="46" t="s">
        <v>174</v>
      </c>
    </row>
    <row r="7" spans="1:14" ht="27" hidden="1" customHeight="1" x14ac:dyDescent="0.25">
      <c r="A7" s="17" t="s">
        <v>140</v>
      </c>
      <c r="B7" s="13" t="s">
        <v>100</v>
      </c>
      <c r="C7" s="8" t="s">
        <v>141</v>
      </c>
      <c r="D7" s="9">
        <v>1196577458</v>
      </c>
      <c r="E7" s="10">
        <f>D7/3440</f>
        <v>347842.28430232557</v>
      </c>
      <c r="F7" s="11">
        <v>0.18</v>
      </c>
      <c r="G7" s="12">
        <v>0</v>
      </c>
      <c r="H7" s="16">
        <v>0</v>
      </c>
      <c r="I7" s="8" t="s">
        <v>123</v>
      </c>
      <c r="J7" s="8" t="s">
        <v>78</v>
      </c>
      <c r="K7" s="8" t="s">
        <v>69</v>
      </c>
      <c r="L7" s="8" t="s">
        <v>70</v>
      </c>
      <c r="M7" s="8">
        <v>2026</v>
      </c>
    </row>
    <row r="8" spans="1:14" ht="27" customHeight="1" x14ac:dyDescent="0.25">
      <c r="A8" s="8" t="s">
        <v>119</v>
      </c>
      <c r="B8" s="8" t="s">
        <v>120</v>
      </c>
      <c r="C8" s="9" t="s">
        <v>118</v>
      </c>
      <c r="D8" s="9">
        <v>1019925027</v>
      </c>
      <c r="E8" s="10">
        <f>D8/3440</f>
        <v>296489.83343023254</v>
      </c>
      <c r="F8" s="11">
        <v>0.18</v>
      </c>
      <c r="G8" s="12">
        <v>8</v>
      </c>
      <c r="H8" s="11">
        <v>0.8</v>
      </c>
      <c r="I8" s="8" t="s">
        <v>67</v>
      </c>
      <c r="J8" s="8" t="s">
        <v>78</v>
      </c>
      <c r="K8" s="8" t="s">
        <v>69</v>
      </c>
      <c r="L8" s="8" t="s">
        <v>70</v>
      </c>
      <c r="M8" s="8">
        <v>2026</v>
      </c>
    </row>
    <row r="9" spans="1:14" ht="27" customHeight="1" x14ac:dyDescent="0.25">
      <c r="A9" s="8" t="s">
        <v>124</v>
      </c>
      <c r="B9" s="8" t="s">
        <v>125</v>
      </c>
      <c r="C9" s="9" t="s">
        <v>126</v>
      </c>
      <c r="D9" s="9">
        <v>1005495400</v>
      </c>
      <c r="E9" s="10">
        <f>D9/3440</f>
        <v>292295.17441860464</v>
      </c>
      <c r="F9" s="11">
        <v>0.18</v>
      </c>
      <c r="G9" s="12">
        <v>12</v>
      </c>
      <c r="H9" s="11">
        <v>0.2</v>
      </c>
      <c r="I9" s="8" t="s">
        <v>92</v>
      </c>
      <c r="J9" s="8" t="s">
        <v>78</v>
      </c>
      <c r="K9" s="8" t="s">
        <v>69</v>
      </c>
      <c r="L9" s="8" t="s">
        <v>70</v>
      </c>
      <c r="M9" s="8">
        <v>2026</v>
      </c>
    </row>
    <row r="10" spans="1:14" ht="27" hidden="1" customHeight="1" x14ac:dyDescent="0.25">
      <c r="A10" s="8" t="s">
        <v>93</v>
      </c>
      <c r="B10" s="8" t="s">
        <v>94</v>
      </c>
      <c r="C10" s="9" t="s">
        <v>66</v>
      </c>
      <c r="D10" s="9">
        <v>1000000000</v>
      </c>
      <c r="E10" s="10">
        <f>D10/3440</f>
        <v>290697.67441860464</v>
      </c>
      <c r="F10" s="11">
        <v>0.18</v>
      </c>
      <c r="G10" s="31">
        <v>1</v>
      </c>
      <c r="H10" s="11">
        <v>0.2</v>
      </c>
      <c r="I10" s="8" t="s">
        <v>95</v>
      </c>
      <c r="J10" s="8" t="s">
        <v>96</v>
      </c>
      <c r="K10" s="8" t="s">
        <v>69</v>
      </c>
      <c r="L10" s="8" t="s">
        <v>70</v>
      </c>
      <c r="M10" s="8">
        <v>2027</v>
      </c>
    </row>
    <row r="11" spans="1:14" ht="27" customHeight="1" x14ac:dyDescent="0.25">
      <c r="A11" s="8" t="s">
        <v>89</v>
      </c>
      <c r="B11" s="8" t="s">
        <v>90</v>
      </c>
      <c r="C11" s="9" t="s">
        <v>91</v>
      </c>
      <c r="D11" s="9">
        <v>961017144</v>
      </c>
      <c r="E11" s="10">
        <f>D11/3200</f>
        <v>300317.85749999998</v>
      </c>
      <c r="F11" s="11">
        <v>0.18</v>
      </c>
      <c r="G11" s="12">
        <v>9</v>
      </c>
      <c r="H11" s="11">
        <v>0.4</v>
      </c>
      <c r="I11" s="8" t="s">
        <v>92</v>
      </c>
      <c r="J11" s="8" t="s">
        <v>78</v>
      </c>
      <c r="K11" s="8" t="s">
        <v>74</v>
      </c>
      <c r="L11" s="8" t="s">
        <v>70</v>
      </c>
      <c r="M11" s="8">
        <v>2026</v>
      </c>
    </row>
    <row r="12" spans="1:14" ht="27" hidden="1" customHeight="1" x14ac:dyDescent="0.25">
      <c r="A12" s="8" t="s">
        <v>29</v>
      </c>
      <c r="B12" s="8" t="s">
        <v>129</v>
      </c>
      <c r="C12" s="9" t="s">
        <v>130</v>
      </c>
      <c r="D12" s="9">
        <v>909857462</v>
      </c>
      <c r="E12" s="10">
        <f>D12/3440</f>
        <v>264493.44825581397</v>
      </c>
      <c r="F12" s="11">
        <v>0.18</v>
      </c>
      <c r="G12" s="12">
        <v>9</v>
      </c>
      <c r="H12" s="11">
        <v>0</v>
      </c>
      <c r="I12" s="8" t="s">
        <v>123</v>
      </c>
      <c r="J12" s="8" t="s">
        <v>78</v>
      </c>
      <c r="K12" s="8" t="s">
        <v>69</v>
      </c>
      <c r="L12" s="8" t="s">
        <v>70</v>
      </c>
      <c r="M12" s="8">
        <v>2026</v>
      </c>
    </row>
    <row r="13" spans="1:14" ht="27" customHeight="1" x14ac:dyDescent="0.25">
      <c r="A13" s="8" t="s">
        <v>108</v>
      </c>
      <c r="B13" s="8" t="s">
        <v>109</v>
      </c>
      <c r="C13" s="9" t="s">
        <v>110</v>
      </c>
      <c r="D13" s="9">
        <f>E13*3200</f>
        <v>865003903.99999988</v>
      </c>
      <c r="E13" s="10">
        <v>270313.71999999997</v>
      </c>
      <c r="F13" s="11">
        <v>0.18</v>
      </c>
      <c r="G13" s="12">
        <v>9</v>
      </c>
      <c r="H13" s="11">
        <v>0.05</v>
      </c>
      <c r="I13" s="8" t="s">
        <v>92</v>
      </c>
      <c r="J13" s="8" t="s">
        <v>88</v>
      </c>
      <c r="K13" s="8" t="s">
        <v>74</v>
      </c>
      <c r="L13" s="8" t="s">
        <v>70</v>
      </c>
      <c r="M13" s="8">
        <v>2026</v>
      </c>
    </row>
    <row r="14" spans="1:14" ht="27" customHeight="1" x14ac:dyDescent="0.25">
      <c r="A14" s="8" t="s">
        <v>83</v>
      </c>
      <c r="B14" s="13" t="s">
        <v>84</v>
      </c>
      <c r="C14" s="8" t="s">
        <v>30</v>
      </c>
      <c r="D14" s="9">
        <v>824664122</v>
      </c>
      <c r="E14" s="10">
        <f>D14/3440</f>
        <v>239727.94244186048</v>
      </c>
      <c r="F14" s="11">
        <v>0.18</v>
      </c>
      <c r="G14" s="12">
        <v>10</v>
      </c>
      <c r="H14" s="11">
        <v>0.6</v>
      </c>
      <c r="I14" s="8" t="s">
        <v>73</v>
      </c>
      <c r="J14" s="8" t="s">
        <v>78</v>
      </c>
      <c r="K14" s="8" t="s">
        <v>69</v>
      </c>
      <c r="L14" s="8" t="s">
        <v>70</v>
      </c>
      <c r="M14" s="8">
        <v>2026</v>
      </c>
    </row>
    <row r="15" spans="1:14" ht="27" customHeight="1" x14ac:dyDescent="0.25">
      <c r="A15" s="8" t="s">
        <v>116</v>
      </c>
      <c r="B15" s="8" t="s">
        <v>117</v>
      </c>
      <c r="C15" s="9" t="s">
        <v>118</v>
      </c>
      <c r="D15" s="9">
        <f>E15*3200</f>
        <v>747331200</v>
      </c>
      <c r="E15" s="10">
        <v>233541</v>
      </c>
      <c r="F15" s="11">
        <v>0.18</v>
      </c>
      <c r="G15" s="12">
        <v>10</v>
      </c>
      <c r="H15" s="11">
        <v>0.4</v>
      </c>
      <c r="I15" s="8" t="s">
        <v>92</v>
      </c>
      <c r="J15" s="8" t="s">
        <v>78</v>
      </c>
      <c r="K15" s="8" t="s">
        <v>69</v>
      </c>
      <c r="L15" s="8" t="s">
        <v>70</v>
      </c>
      <c r="M15" s="8">
        <v>2026</v>
      </c>
    </row>
    <row r="16" spans="1:14" ht="27" customHeight="1" x14ac:dyDescent="0.25">
      <c r="A16" s="13" t="s">
        <v>105</v>
      </c>
      <c r="B16" s="13" t="s">
        <v>106</v>
      </c>
      <c r="C16" s="14" t="s">
        <v>107</v>
      </c>
      <c r="D16" s="14">
        <v>657219934</v>
      </c>
      <c r="E16" s="15">
        <f>D16/3200</f>
        <v>205381.229375</v>
      </c>
      <c r="F16" s="11">
        <v>0.18</v>
      </c>
      <c r="G16" s="12">
        <v>9</v>
      </c>
      <c r="H16" s="11">
        <v>0.2</v>
      </c>
      <c r="I16" s="8" t="s">
        <v>92</v>
      </c>
      <c r="J16" s="8" t="s">
        <v>78</v>
      </c>
      <c r="K16" s="8" t="s">
        <v>74</v>
      </c>
      <c r="L16" s="8" t="s">
        <v>70</v>
      </c>
      <c r="M16" s="8">
        <v>2026</v>
      </c>
    </row>
    <row r="17" spans="1:24" ht="27" hidden="1" customHeight="1" x14ac:dyDescent="0.25">
      <c r="A17" s="8" t="s">
        <v>114</v>
      </c>
      <c r="B17" s="8" t="s">
        <v>115</v>
      </c>
      <c r="C17" s="14"/>
      <c r="D17" s="9">
        <v>504163542</v>
      </c>
      <c r="E17" s="10">
        <f>D17/3440</f>
        <v>146559.16918604652</v>
      </c>
      <c r="F17" s="11">
        <v>0.18</v>
      </c>
      <c r="G17" s="12">
        <v>0</v>
      </c>
      <c r="H17" s="16">
        <v>0</v>
      </c>
      <c r="I17" s="8" t="s">
        <v>95</v>
      </c>
      <c r="J17" s="8" t="s">
        <v>78</v>
      </c>
      <c r="K17" s="8" t="s">
        <v>69</v>
      </c>
      <c r="L17" s="8" t="s">
        <v>70</v>
      </c>
      <c r="M17" s="8">
        <v>2026</v>
      </c>
    </row>
    <row r="18" spans="1:24" ht="27" customHeight="1" x14ac:dyDescent="0.25">
      <c r="A18" s="8" t="s">
        <v>133</v>
      </c>
      <c r="B18" s="8" t="s">
        <v>134</v>
      </c>
      <c r="C18" s="9" t="s">
        <v>135</v>
      </c>
      <c r="D18" s="9">
        <v>482029341</v>
      </c>
      <c r="E18" s="10">
        <f>D18/3440</f>
        <v>140124.80843023254</v>
      </c>
      <c r="F18" s="11">
        <v>0.18</v>
      </c>
      <c r="G18" s="12">
        <v>9</v>
      </c>
      <c r="H18" s="11">
        <v>0.6</v>
      </c>
      <c r="I18" s="8" t="s">
        <v>92</v>
      </c>
      <c r="J18" s="8" t="s">
        <v>78</v>
      </c>
      <c r="K18" s="8" t="s">
        <v>74</v>
      </c>
      <c r="L18" s="8" t="s">
        <v>70</v>
      </c>
      <c r="M18" s="8">
        <v>2026</v>
      </c>
    </row>
    <row r="19" spans="1:24" ht="27" customHeight="1" x14ac:dyDescent="0.25">
      <c r="A19" s="8" t="s">
        <v>80</v>
      </c>
      <c r="B19" s="13" t="s">
        <v>81</v>
      </c>
      <c r="C19" s="8" t="s">
        <v>82</v>
      </c>
      <c r="D19" s="9">
        <f>E19*3200</f>
        <v>384000000</v>
      </c>
      <c r="E19" s="10">
        <v>120000</v>
      </c>
      <c r="F19" s="11">
        <v>0.18</v>
      </c>
      <c r="G19" s="12">
        <v>10</v>
      </c>
      <c r="H19" s="11">
        <v>0.05</v>
      </c>
      <c r="I19" s="8" t="s">
        <v>73</v>
      </c>
      <c r="J19" s="8" t="s">
        <v>78</v>
      </c>
      <c r="K19" s="8" t="s">
        <v>69</v>
      </c>
      <c r="L19" s="8" t="s">
        <v>70</v>
      </c>
      <c r="M19" s="8">
        <v>2026</v>
      </c>
    </row>
    <row r="20" spans="1:24" ht="27" hidden="1" customHeight="1" x14ac:dyDescent="0.25">
      <c r="A20" s="8" t="s">
        <v>112</v>
      </c>
      <c r="B20" s="8" t="s">
        <v>113</v>
      </c>
      <c r="C20" s="14"/>
      <c r="D20" s="9">
        <v>357301597</v>
      </c>
      <c r="E20" s="10">
        <f>D20/3440</f>
        <v>103866.74331395348</v>
      </c>
      <c r="F20" s="11">
        <v>0.18</v>
      </c>
      <c r="G20" s="12">
        <v>0</v>
      </c>
      <c r="H20" s="16">
        <v>0</v>
      </c>
      <c r="I20" s="8" t="s">
        <v>95</v>
      </c>
      <c r="J20" s="8" t="s">
        <v>78</v>
      </c>
      <c r="K20" s="8" t="s">
        <v>69</v>
      </c>
      <c r="L20" s="8" t="s">
        <v>70</v>
      </c>
      <c r="M20" s="8">
        <v>2026</v>
      </c>
    </row>
    <row r="21" spans="1:24" ht="27" customHeight="1" x14ac:dyDescent="0.25">
      <c r="A21" s="8" t="s">
        <v>127</v>
      </c>
      <c r="B21" s="8" t="s">
        <v>128</v>
      </c>
      <c r="C21" s="9" t="s">
        <v>91</v>
      </c>
      <c r="D21" s="9">
        <v>139238717</v>
      </c>
      <c r="E21" s="10">
        <f>D21/3200</f>
        <v>43512.099062499998</v>
      </c>
      <c r="F21" s="11">
        <v>0.18</v>
      </c>
      <c r="G21" s="12">
        <v>8</v>
      </c>
      <c r="H21" s="11">
        <v>0.4</v>
      </c>
      <c r="I21" s="8" t="s">
        <v>92</v>
      </c>
      <c r="J21" s="8" t="s">
        <v>78</v>
      </c>
      <c r="K21" s="8" t="s">
        <v>74</v>
      </c>
      <c r="L21" s="8" t="s">
        <v>79</v>
      </c>
      <c r="M21" s="8">
        <v>2026</v>
      </c>
    </row>
    <row r="22" spans="1:24" ht="27" hidden="1" customHeight="1" x14ac:dyDescent="0.25">
      <c r="A22" s="8" t="s">
        <v>121</v>
      </c>
      <c r="B22" s="8" t="s">
        <v>111</v>
      </c>
      <c r="C22" s="9" t="s">
        <v>118</v>
      </c>
      <c r="D22" s="9">
        <v>31956438</v>
      </c>
      <c r="E22" s="10">
        <f>D22/3440</f>
        <v>9289.6622093023252</v>
      </c>
      <c r="F22" s="11">
        <v>0.18</v>
      </c>
      <c r="G22" s="12">
        <v>0</v>
      </c>
      <c r="H22" s="11">
        <v>0</v>
      </c>
      <c r="I22" s="8" t="s">
        <v>123</v>
      </c>
      <c r="J22" s="8" t="s">
        <v>78</v>
      </c>
      <c r="K22" s="8" t="s">
        <v>74</v>
      </c>
      <c r="L22" s="8" t="s">
        <v>70</v>
      </c>
      <c r="M22" s="8">
        <v>2026</v>
      </c>
    </row>
    <row r="23" spans="1:24" ht="27" hidden="1" customHeight="1" x14ac:dyDescent="0.25">
      <c r="A23" s="8" t="s">
        <v>29</v>
      </c>
      <c r="B23" s="8" t="s">
        <v>138</v>
      </c>
      <c r="C23" s="9" t="s">
        <v>139</v>
      </c>
      <c r="D23" s="9">
        <v>28263446</v>
      </c>
      <c r="E23" s="10">
        <f>D23/3440</f>
        <v>8216.1180232558145</v>
      </c>
      <c r="F23" s="11">
        <v>0.18</v>
      </c>
      <c r="G23" s="12">
        <v>0</v>
      </c>
      <c r="H23" s="16">
        <v>0</v>
      </c>
      <c r="I23" s="8" t="s">
        <v>123</v>
      </c>
      <c r="J23" s="8" t="s">
        <v>78</v>
      </c>
      <c r="K23" s="8" t="s">
        <v>74</v>
      </c>
      <c r="L23" s="8" t="s">
        <v>70</v>
      </c>
      <c r="M23" s="8">
        <v>2026</v>
      </c>
    </row>
    <row r="24" spans="1:24" ht="27" customHeight="1" x14ac:dyDescent="0.25">
      <c r="A24" s="8" t="s">
        <v>75</v>
      </c>
      <c r="B24" s="8" t="s">
        <v>76</v>
      </c>
      <c r="C24" s="9" t="s">
        <v>77</v>
      </c>
      <c r="D24" s="9">
        <v>24445921</v>
      </c>
      <c r="E24" s="10">
        <f>D24/3440</f>
        <v>7106.37238372093</v>
      </c>
      <c r="F24" s="11">
        <v>0.18</v>
      </c>
      <c r="G24" s="12">
        <v>8</v>
      </c>
      <c r="H24" s="11">
        <v>0.6</v>
      </c>
      <c r="I24" s="8" t="s">
        <v>73</v>
      </c>
      <c r="J24" s="8" t="s">
        <v>78</v>
      </c>
      <c r="K24" s="8" t="s">
        <v>69</v>
      </c>
      <c r="L24" s="8" t="s">
        <v>79</v>
      </c>
      <c r="M24" s="8">
        <v>2026</v>
      </c>
    </row>
    <row r="25" spans="1:24" ht="27" customHeight="1" x14ac:dyDescent="0.25">
      <c r="A25" s="13" t="s">
        <v>131</v>
      </c>
      <c r="B25" s="13" t="s">
        <v>111</v>
      </c>
      <c r="C25" s="14" t="s">
        <v>91</v>
      </c>
      <c r="D25" s="14">
        <v>9400000</v>
      </c>
      <c r="E25" s="10">
        <f>D25/3200</f>
        <v>2937.5</v>
      </c>
      <c r="F25" s="11">
        <v>0.18</v>
      </c>
      <c r="G25" s="12">
        <v>12</v>
      </c>
      <c r="H25" s="11">
        <v>0.2</v>
      </c>
      <c r="I25" s="8" t="s">
        <v>92</v>
      </c>
      <c r="J25" s="8" t="s">
        <v>132</v>
      </c>
      <c r="K25" s="8" t="s">
        <v>74</v>
      </c>
      <c r="L25" s="8" t="s">
        <v>70</v>
      </c>
      <c r="M25" s="8">
        <v>2026</v>
      </c>
    </row>
    <row r="26" spans="1:24" ht="27" customHeight="1" x14ac:dyDescent="0.25">
      <c r="A26" s="8" t="s">
        <v>86</v>
      </c>
      <c r="B26" s="8" t="s">
        <v>66</v>
      </c>
      <c r="C26" s="9" t="s">
        <v>66</v>
      </c>
      <c r="D26" s="9"/>
      <c r="E26" s="10">
        <v>12000000</v>
      </c>
      <c r="F26" s="11">
        <v>0.18</v>
      </c>
      <c r="G26" s="12">
        <v>3</v>
      </c>
      <c r="H26" s="11">
        <v>0.05</v>
      </c>
      <c r="I26" s="8" t="s">
        <v>87</v>
      </c>
      <c r="J26" s="8" t="s">
        <v>88</v>
      </c>
      <c r="K26" s="8" t="s">
        <v>74</v>
      </c>
      <c r="L26" s="8" t="s">
        <v>70</v>
      </c>
      <c r="M26" s="8">
        <v>2027</v>
      </c>
    </row>
    <row r="27" spans="1:24" ht="27" customHeight="1" x14ac:dyDescent="0.25">
      <c r="A27" s="13" t="s">
        <v>97</v>
      </c>
      <c r="B27" s="13" t="s">
        <v>98</v>
      </c>
      <c r="C27" s="14" t="s">
        <v>91</v>
      </c>
      <c r="D27" s="14"/>
      <c r="E27" s="15">
        <v>150000</v>
      </c>
      <c r="F27" s="11">
        <v>0.18</v>
      </c>
      <c r="G27" s="12">
        <v>12</v>
      </c>
      <c r="H27" s="11">
        <v>0.2</v>
      </c>
      <c r="I27" s="8" t="s">
        <v>87</v>
      </c>
      <c r="J27" s="8" t="s">
        <v>78</v>
      </c>
      <c r="K27" s="8" t="s">
        <v>74</v>
      </c>
      <c r="L27" s="8" t="s">
        <v>79</v>
      </c>
      <c r="M27" s="8">
        <v>2026</v>
      </c>
    </row>
    <row r="28" spans="1:24" ht="27" customHeight="1" x14ac:dyDescent="0.25">
      <c r="A28" s="8" t="s">
        <v>103</v>
      </c>
      <c r="B28" s="13" t="s">
        <v>81</v>
      </c>
      <c r="C28" s="8" t="s">
        <v>104</v>
      </c>
      <c r="D28" s="14"/>
      <c r="E28" s="10">
        <v>250000</v>
      </c>
      <c r="F28" s="11">
        <v>0.18</v>
      </c>
      <c r="G28" s="12">
        <v>2</v>
      </c>
      <c r="H28" s="11">
        <v>0.05</v>
      </c>
      <c r="I28" s="8" t="s">
        <v>73</v>
      </c>
      <c r="J28" s="8" t="s">
        <v>78</v>
      </c>
      <c r="K28" s="8" t="s">
        <v>74</v>
      </c>
      <c r="L28" s="8" t="s">
        <v>79</v>
      </c>
      <c r="M28" s="8">
        <v>2027</v>
      </c>
    </row>
    <row r="29" spans="1:24" ht="27" customHeight="1" x14ac:dyDescent="0.25">
      <c r="A29" s="8" t="s">
        <v>103</v>
      </c>
      <c r="B29" s="13" t="s">
        <v>136</v>
      </c>
      <c r="C29" s="8" t="s">
        <v>137</v>
      </c>
      <c r="D29" s="14"/>
      <c r="E29" s="10">
        <v>250000</v>
      </c>
      <c r="F29" s="11">
        <v>0.18</v>
      </c>
      <c r="G29" s="31">
        <v>3</v>
      </c>
      <c r="H29" s="11">
        <v>0.05</v>
      </c>
      <c r="I29" s="8" t="s">
        <v>87</v>
      </c>
      <c r="J29" s="8" t="s">
        <v>68</v>
      </c>
      <c r="K29" s="8" t="s">
        <v>74</v>
      </c>
      <c r="L29" s="8" t="s">
        <v>79</v>
      </c>
      <c r="M29" s="8">
        <v>2027</v>
      </c>
    </row>
    <row r="30" spans="1:24" ht="27" customHeight="1" x14ac:dyDescent="0.25">
      <c r="A30" s="8" t="s">
        <v>145</v>
      </c>
      <c r="B30" s="13" t="s">
        <v>146</v>
      </c>
      <c r="C30" s="8" t="s">
        <v>101</v>
      </c>
      <c r="D30" s="14"/>
      <c r="E30" s="10">
        <v>100000</v>
      </c>
      <c r="F30" s="11">
        <v>0.18</v>
      </c>
      <c r="G30" s="31">
        <v>6</v>
      </c>
      <c r="H30" s="11">
        <v>0.05</v>
      </c>
      <c r="I30" s="8" t="s">
        <v>102</v>
      </c>
      <c r="J30" s="8" t="s">
        <v>78</v>
      </c>
      <c r="K30" s="8" t="s">
        <v>69</v>
      </c>
      <c r="L30" s="8" t="s">
        <v>70</v>
      </c>
      <c r="M30" s="8">
        <v>2027</v>
      </c>
    </row>
    <row r="31" spans="1:24" ht="27" customHeight="1" thickBot="1" x14ac:dyDescent="0.3">
      <c r="A31" s="13" t="s">
        <v>147</v>
      </c>
      <c r="B31" s="13" t="s">
        <v>148</v>
      </c>
      <c r="C31" s="14" t="s">
        <v>149</v>
      </c>
      <c r="D31" s="14"/>
      <c r="E31" s="15">
        <f>70*600</f>
        <v>42000</v>
      </c>
      <c r="F31" s="11">
        <v>0.18</v>
      </c>
      <c r="G31" s="12">
        <v>11</v>
      </c>
      <c r="H31" s="11">
        <v>0.2</v>
      </c>
      <c r="I31" s="8" t="s">
        <v>87</v>
      </c>
      <c r="J31" s="8" t="s">
        <v>78</v>
      </c>
      <c r="K31" s="8" t="s">
        <v>69</v>
      </c>
      <c r="L31" s="18" t="s">
        <v>70</v>
      </c>
      <c r="M31" s="8">
        <v>2026</v>
      </c>
    </row>
    <row r="32" spans="1:24" ht="27" customHeight="1" thickBot="1" x14ac:dyDescent="0.3">
      <c r="A32" s="19" t="s">
        <v>155</v>
      </c>
      <c r="B32" s="19" t="s">
        <v>156</v>
      </c>
      <c r="C32" s="20" t="s">
        <v>66</v>
      </c>
      <c r="D32" s="20"/>
      <c r="E32" s="15">
        <v>2000000</v>
      </c>
      <c r="F32" s="11">
        <v>0.18</v>
      </c>
      <c r="G32" s="19">
        <v>1</v>
      </c>
      <c r="H32" s="21">
        <v>0.4</v>
      </c>
      <c r="I32" s="8" t="s">
        <v>87</v>
      </c>
      <c r="J32" s="8" t="s">
        <v>68</v>
      </c>
      <c r="K32" s="8" t="s">
        <v>74</v>
      </c>
      <c r="L32" s="20" t="s">
        <v>70</v>
      </c>
      <c r="M32" s="8">
        <v>2027</v>
      </c>
      <c r="Q32" s="2"/>
      <c r="R32" s="2"/>
      <c r="S32" s="2"/>
      <c r="T32" s="2"/>
      <c r="U32" s="2"/>
      <c r="V32" s="2"/>
      <c r="W32" s="2"/>
      <c r="X32" s="2"/>
    </row>
  </sheetData>
  <autoFilter ref="A1:M32" xr:uid="{00000000-0001-0000-0100-000000000000}">
    <filterColumn colId="8">
      <filters>
        <filter val="En análisis"/>
        <filter val="En proceso de cotización"/>
        <filter val="Negociación"/>
        <filter val="Postpuesto"/>
        <filter val="Prospecto"/>
      </filters>
    </filterColumn>
    <sortState xmlns:xlrd2="http://schemas.microsoft.com/office/spreadsheetml/2017/richdata2" ref="A2:M32">
      <sortCondition descending="1" ref="D1:D32"/>
    </sortState>
  </autoFilter>
  <phoneticPr fontId="9" type="noConversion"/>
  <dataValidations count="1">
    <dataValidation type="list" allowBlank="1" showErrorMessage="1" sqref="I2:I32" xr:uid="{00000000-0002-0000-0100-000000000000}">
      <formula1>"Postpuesto,Perdido,Negociación,Vendido,En análisis,Prospecto,En proceso de cotización,Cancelado"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D9F0-8D78-40A6-A7E5-E34C6AE9526B}">
  <dimension ref="A2:L39"/>
  <sheetViews>
    <sheetView topLeftCell="A15" zoomScaleNormal="100" workbookViewId="0">
      <selection activeCell="B9" sqref="B9"/>
    </sheetView>
  </sheetViews>
  <sheetFormatPr baseColWidth="10" defaultRowHeight="13.2" x14ac:dyDescent="0.25"/>
  <cols>
    <col min="1" max="1" width="22.5546875" customWidth="1"/>
    <col min="2" max="2" width="24.44140625" style="27" customWidth="1"/>
    <col min="4" max="4" width="20" customWidth="1"/>
    <col min="5" max="5" width="15.6640625" customWidth="1"/>
    <col min="6" max="6" width="15" customWidth="1"/>
    <col min="7" max="7" width="17.88671875" customWidth="1"/>
    <col min="8" max="8" width="21.5546875" customWidth="1"/>
  </cols>
  <sheetData>
    <row r="2" spans="1:12" x14ac:dyDescent="0.25">
      <c r="A2" s="22" t="s">
        <v>150</v>
      </c>
      <c r="B2" s="28"/>
      <c r="C2" s="22"/>
      <c r="D2" s="22"/>
    </row>
    <row r="3" spans="1:12" ht="26.4" x14ac:dyDescent="0.25">
      <c r="A3" s="20" t="s">
        <v>158</v>
      </c>
      <c r="B3" s="20" t="s">
        <v>159</v>
      </c>
      <c r="C3" s="20" t="s">
        <v>160</v>
      </c>
      <c r="D3" s="20" t="s">
        <v>54</v>
      </c>
      <c r="E3" s="20" t="s">
        <v>62</v>
      </c>
      <c r="F3" s="20" t="s">
        <v>161</v>
      </c>
      <c r="G3" s="20" t="s">
        <v>162</v>
      </c>
      <c r="H3" s="20" t="s">
        <v>163</v>
      </c>
    </row>
    <row r="4" spans="1:12" x14ac:dyDescent="0.25">
      <c r="A4" s="24">
        <v>2026</v>
      </c>
      <c r="B4" s="25">
        <v>46041</v>
      </c>
      <c r="C4" s="24" t="s">
        <v>46</v>
      </c>
      <c r="D4" s="24" t="s">
        <v>18</v>
      </c>
      <c r="E4" s="24" t="s">
        <v>19</v>
      </c>
      <c r="F4" s="30">
        <v>1850</v>
      </c>
      <c r="G4" s="26">
        <v>0.18</v>
      </c>
      <c r="H4" s="24" t="s">
        <v>49</v>
      </c>
    </row>
    <row r="5" spans="1:12" ht="26.4" x14ac:dyDescent="0.25">
      <c r="A5" s="24">
        <v>2026</v>
      </c>
      <c r="B5" s="25">
        <v>46041</v>
      </c>
      <c r="C5" s="24" t="s">
        <v>46</v>
      </c>
      <c r="D5" s="24" t="s">
        <v>52</v>
      </c>
      <c r="E5" s="24" t="s">
        <v>19</v>
      </c>
      <c r="F5" s="30">
        <v>300</v>
      </c>
      <c r="G5" s="26">
        <v>0.18</v>
      </c>
      <c r="H5" s="24" t="s">
        <v>53</v>
      </c>
    </row>
    <row r="6" spans="1:12" ht="26.4" x14ac:dyDescent="0.25">
      <c r="A6" s="24">
        <v>2026</v>
      </c>
      <c r="B6" s="25">
        <v>46047</v>
      </c>
      <c r="C6" s="24" t="s">
        <v>46</v>
      </c>
      <c r="D6" s="24" t="s">
        <v>50</v>
      </c>
      <c r="E6" s="24" t="s">
        <v>19</v>
      </c>
      <c r="F6" s="30">
        <v>1298.6300000000001</v>
      </c>
      <c r="G6" s="26">
        <v>0.18</v>
      </c>
      <c r="H6" s="24" t="s">
        <v>51</v>
      </c>
    </row>
    <row r="7" spans="1:12" x14ac:dyDescent="0.25">
      <c r="A7" s="24">
        <v>2026</v>
      </c>
      <c r="B7" s="25">
        <v>46052</v>
      </c>
      <c r="C7" s="24" t="s">
        <v>46</v>
      </c>
      <c r="D7" s="24" t="s">
        <v>10</v>
      </c>
      <c r="E7" s="24" t="s">
        <v>12</v>
      </c>
      <c r="F7" s="30">
        <v>92832</v>
      </c>
      <c r="G7" s="26">
        <v>0.18</v>
      </c>
      <c r="H7" s="24" t="s">
        <v>23</v>
      </c>
    </row>
    <row r="8" spans="1:12" ht="26.4" x14ac:dyDescent="0.25">
      <c r="A8" s="24">
        <v>2026</v>
      </c>
      <c r="B8" s="25">
        <v>46111</v>
      </c>
      <c r="C8" s="24" t="s">
        <v>44</v>
      </c>
      <c r="D8" s="24" t="s">
        <v>45</v>
      </c>
      <c r="E8" s="24" t="s">
        <v>12</v>
      </c>
      <c r="F8" s="30">
        <v>749045</v>
      </c>
      <c r="G8" s="26">
        <v>0.18</v>
      </c>
      <c r="H8" s="24" t="s">
        <v>154</v>
      </c>
    </row>
    <row r="9" spans="1:12" x14ac:dyDescent="0.25">
      <c r="A9" s="40">
        <v>2026</v>
      </c>
      <c r="B9" s="47">
        <v>46237</v>
      </c>
      <c r="C9" s="40" t="s">
        <v>34</v>
      </c>
      <c r="D9" s="40" t="s">
        <v>32</v>
      </c>
      <c r="E9" s="40" t="s">
        <v>12</v>
      </c>
      <c r="F9" s="30">
        <v>1239.194476744186</v>
      </c>
      <c r="G9" s="26">
        <v>0.18</v>
      </c>
      <c r="H9" s="40" t="s">
        <v>122</v>
      </c>
    </row>
    <row r="12" spans="1:12" x14ac:dyDescent="0.25">
      <c r="A12" s="1" t="s">
        <v>164</v>
      </c>
    </row>
    <row r="14" spans="1:12" ht="28.8" x14ac:dyDescent="0.25">
      <c r="A14" s="3" t="s">
        <v>54</v>
      </c>
      <c r="B14" s="3" t="s">
        <v>8</v>
      </c>
      <c r="C14" s="4" t="s">
        <v>55</v>
      </c>
      <c r="D14" s="4" t="s">
        <v>56</v>
      </c>
      <c r="E14" s="5" t="s">
        <v>57</v>
      </c>
      <c r="F14" s="3" t="s">
        <v>58</v>
      </c>
      <c r="G14" s="6" t="s">
        <v>59</v>
      </c>
      <c r="H14" s="7" t="s">
        <v>60</v>
      </c>
      <c r="I14" s="3" t="s">
        <v>61</v>
      </c>
      <c r="J14" s="3" t="s">
        <v>62</v>
      </c>
      <c r="K14" s="3" t="s">
        <v>63</v>
      </c>
      <c r="L14" s="3" t="s">
        <v>158</v>
      </c>
    </row>
    <row r="15" spans="1:12" ht="28.8" x14ac:dyDescent="0.25">
      <c r="A15" s="8" t="s">
        <v>64</v>
      </c>
      <c r="B15" s="8" t="s">
        <v>165</v>
      </c>
      <c r="C15" s="9" t="s">
        <v>66</v>
      </c>
      <c r="D15" s="23">
        <v>3031982700</v>
      </c>
      <c r="E15" s="10">
        <v>947494.59375</v>
      </c>
      <c r="F15" s="11">
        <v>0.18</v>
      </c>
      <c r="G15" s="12">
        <v>8</v>
      </c>
      <c r="H15" s="11">
        <v>0.8</v>
      </c>
      <c r="I15" s="8" t="s">
        <v>67</v>
      </c>
      <c r="J15" s="8" t="s">
        <v>68</v>
      </c>
      <c r="K15" s="8" t="s">
        <v>74</v>
      </c>
      <c r="L15" s="8">
        <v>2026</v>
      </c>
    </row>
    <row r="16" spans="1:12" ht="43.2" x14ac:dyDescent="0.25">
      <c r="A16" s="8" t="s">
        <v>108</v>
      </c>
      <c r="B16" s="8" t="s">
        <v>109</v>
      </c>
      <c r="C16" s="9" t="s">
        <v>110</v>
      </c>
      <c r="D16" s="9">
        <v>865003903.99999988</v>
      </c>
      <c r="E16" s="10">
        <v>270313.71999999997</v>
      </c>
      <c r="F16" s="11">
        <v>0.18</v>
      </c>
      <c r="G16" s="12">
        <v>9</v>
      </c>
      <c r="H16" s="32">
        <v>0.2</v>
      </c>
      <c r="I16" s="8" t="s">
        <v>92</v>
      </c>
      <c r="J16" s="8" t="s">
        <v>88</v>
      </c>
      <c r="K16" s="8" t="s">
        <v>74</v>
      </c>
      <c r="L16" s="8">
        <v>2026</v>
      </c>
    </row>
    <row r="17" spans="1:12" ht="26.4" x14ac:dyDescent="0.25">
      <c r="A17" s="13" t="s">
        <v>131</v>
      </c>
      <c r="B17" s="13" t="s">
        <v>111</v>
      </c>
      <c r="C17" s="14" t="s">
        <v>91</v>
      </c>
      <c r="D17" s="14">
        <v>9400000</v>
      </c>
      <c r="E17" s="10">
        <v>2937.5</v>
      </c>
      <c r="F17" s="11">
        <v>0.18</v>
      </c>
      <c r="G17" s="12">
        <v>12</v>
      </c>
      <c r="H17" s="11">
        <v>0.2</v>
      </c>
      <c r="I17" s="8" t="s">
        <v>92</v>
      </c>
      <c r="J17" s="8" t="s">
        <v>132</v>
      </c>
      <c r="K17" s="8" t="s">
        <v>74</v>
      </c>
      <c r="L17" s="8">
        <v>2026</v>
      </c>
    </row>
    <row r="18" spans="1:12" ht="26.4" x14ac:dyDescent="0.25">
      <c r="A18" s="19" t="s">
        <v>155</v>
      </c>
      <c r="B18" s="19" t="s">
        <v>156</v>
      </c>
      <c r="C18" s="20" t="s">
        <v>66</v>
      </c>
      <c r="D18" s="20"/>
      <c r="E18" s="36" t="s">
        <v>157</v>
      </c>
      <c r="F18" s="11">
        <v>0.18</v>
      </c>
      <c r="G18" s="19">
        <v>10</v>
      </c>
      <c r="H18" s="21">
        <v>0.4</v>
      </c>
      <c r="I18" s="8" t="s">
        <v>87</v>
      </c>
      <c r="J18" s="8" t="s">
        <v>68</v>
      </c>
      <c r="K18" s="8" t="s">
        <v>74</v>
      </c>
      <c r="L18" s="8">
        <v>2026</v>
      </c>
    </row>
    <row r="19" spans="1:12" x14ac:dyDescent="0.25">
      <c r="B19"/>
    </row>
    <row r="20" spans="1:12" x14ac:dyDescent="0.25">
      <c r="A20" t="s">
        <v>151</v>
      </c>
    </row>
    <row r="22" spans="1:12" ht="28.8" x14ac:dyDescent="0.25">
      <c r="A22" s="3" t="s">
        <v>54</v>
      </c>
      <c r="B22" s="3" t="s">
        <v>8</v>
      </c>
      <c r="C22" s="4" t="s">
        <v>55</v>
      </c>
      <c r="D22" s="4" t="s">
        <v>56</v>
      </c>
      <c r="E22" s="5" t="s">
        <v>57</v>
      </c>
      <c r="F22" s="3" t="s">
        <v>58</v>
      </c>
      <c r="G22" s="6" t="s">
        <v>59</v>
      </c>
      <c r="H22" s="7" t="s">
        <v>60</v>
      </c>
      <c r="I22" s="3" t="s">
        <v>61</v>
      </c>
      <c r="J22" s="3" t="s">
        <v>62</v>
      </c>
      <c r="K22" s="3" t="s">
        <v>63</v>
      </c>
      <c r="L22" s="3" t="s">
        <v>158</v>
      </c>
    </row>
    <row r="23" spans="1:12" ht="28.8" x14ac:dyDescent="0.25">
      <c r="A23" s="8" t="s">
        <v>64</v>
      </c>
      <c r="B23" s="8" t="s">
        <v>165</v>
      </c>
      <c r="C23" s="9" t="s">
        <v>66</v>
      </c>
      <c r="D23" s="23">
        <v>3031982700</v>
      </c>
      <c r="E23" s="10">
        <v>947494.59375</v>
      </c>
      <c r="F23" s="11">
        <v>0.18</v>
      </c>
      <c r="G23" s="12">
        <v>8</v>
      </c>
      <c r="H23" s="11">
        <v>0.8</v>
      </c>
      <c r="I23" s="8" t="s">
        <v>67</v>
      </c>
      <c r="J23" s="8" t="s">
        <v>68</v>
      </c>
      <c r="K23" s="8" t="s">
        <v>74</v>
      </c>
      <c r="L23" s="8">
        <v>2026</v>
      </c>
    </row>
    <row r="24" spans="1:12" ht="43.2" x14ac:dyDescent="0.25">
      <c r="A24" s="8" t="s">
        <v>75</v>
      </c>
      <c r="B24" s="8" t="s">
        <v>76</v>
      </c>
      <c r="C24" s="9" t="s">
        <v>77</v>
      </c>
      <c r="D24" s="9">
        <v>24445921</v>
      </c>
      <c r="E24" s="10">
        <v>7106.37238372093</v>
      </c>
      <c r="F24" s="11">
        <v>0.18</v>
      </c>
      <c r="G24" s="12">
        <v>8</v>
      </c>
      <c r="H24" s="11">
        <v>0.6</v>
      </c>
      <c r="I24" s="8" t="s">
        <v>73</v>
      </c>
      <c r="J24" s="8" t="s">
        <v>78</v>
      </c>
      <c r="K24" s="8" t="s">
        <v>74</v>
      </c>
      <c r="L24" s="8">
        <v>2026</v>
      </c>
    </row>
    <row r="25" spans="1:12" ht="28.8" x14ac:dyDescent="0.25">
      <c r="A25" s="8" t="s">
        <v>89</v>
      </c>
      <c r="B25" s="8" t="s">
        <v>90</v>
      </c>
      <c r="C25" s="9" t="s">
        <v>91</v>
      </c>
      <c r="D25" s="9">
        <v>961017144</v>
      </c>
      <c r="E25" s="10">
        <v>300317.85749999998</v>
      </c>
      <c r="F25" s="11">
        <v>0.18</v>
      </c>
      <c r="G25" s="12">
        <v>9</v>
      </c>
      <c r="H25" s="11">
        <v>0.4</v>
      </c>
      <c r="I25" s="8" t="s">
        <v>92</v>
      </c>
      <c r="J25" s="8" t="s">
        <v>78</v>
      </c>
      <c r="K25" s="8" t="s">
        <v>74</v>
      </c>
      <c r="L25" s="8">
        <v>2026</v>
      </c>
    </row>
    <row r="26" spans="1:12" ht="26.4" x14ac:dyDescent="0.25">
      <c r="A26" s="13" t="s">
        <v>97</v>
      </c>
      <c r="B26" s="13" t="s">
        <v>98</v>
      </c>
      <c r="C26" s="14" t="s">
        <v>91</v>
      </c>
      <c r="D26" s="14"/>
      <c r="E26" s="34">
        <v>150000</v>
      </c>
      <c r="F26" s="11">
        <v>0.18</v>
      </c>
      <c r="G26" s="12">
        <v>12</v>
      </c>
      <c r="H26" s="11">
        <v>0.2</v>
      </c>
      <c r="I26" s="8" t="s">
        <v>87</v>
      </c>
      <c r="J26" s="8" t="s">
        <v>78</v>
      </c>
      <c r="K26" s="8" t="s">
        <v>74</v>
      </c>
      <c r="L26" s="8">
        <v>2026</v>
      </c>
    </row>
    <row r="27" spans="1:12" ht="14.4" x14ac:dyDescent="0.25">
      <c r="A27" s="8" t="s">
        <v>103</v>
      </c>
      <c r="B27" s="13" t="s">
        <v>81</v>
      </c>
      <c r="C27" s="8" t="s">
        <v>104</v>
      </c>
      <c r="D27" s="14"/>
      <c r="E27" s="35">
        <v>80000</v>
      </c>
      <c r="F27" s="11">
        <v>0.18</v>
      </c>
      <c r="G27" s="12">
        <v>11</v>
      </c>
      <c r="H27" s="11">
        <v>0.2</v>
      </c>
      <c r="I27" s="8" t="s">
        <v>87</v>
      </c>
      <c r="J27" s="8" t="s">
        <v>78</v>
      </c>
      <c r="K27" s="8" t="s">
        <v>74</v>
      </c>
      <c r="L27" s="8">
        <v>2026</v>
      </c>
    </row>
    <row r="28" spans="1:12" ht="14.4" x14ac:dyDescent="0.25">
      <c r="A28" s="13" t="s">
        <v>105</v>
      </c>
      <c r="B28" s="13" t="s">
        <v>106</v>
      </c>
      <c r="C28" s="14" t="s">
        <v>107</v>
      </c>
      <c r="D28" s="14">
        <v>352000000</v>
      </c>
      <c r="E28" s="15">
        <v>110000</v>
      </c>
      <c r="F28" s="11">
        <v>0.18</v>
      </c>
      <c r="G28" s="33">
        <v>9</v>
      </c>
      <c r="H28" s="11">
        <v>0.2</v>
      </c>
      <c r="I28" s="8" t="s">
        <v>92</v>
      </c>
      <c r="J28" s="8" t="s">
        <v>78</v>
      </c>
      <c r="K28" s="8" t="s">
        <v>74</v>
      </c>
      <c r="L28" s="8">
        <v>2026</v>
      </c>
    </row>
    <row r="29" spans="1:12" ht="43.2" x14ac:dyDescent="0.25">
      <c r="A29" s="8" t="s">
        <v>108</v>
      </c>
      <c r="B29" s="8" t="s">
        <v>109</v>
      </c>
      <c r="C29" s="9" t="s">
        <v>110</v>
      </c>
      <c r="D29" s="9">
        <v>865003903.99999988</v>
      </c>
      <c r="E29" s="10">
        <v>270313.71999999997</v>
      </c>
      <c r="F29" s="11">
        <v>0.18</v>
      </c>
      <c r="G29" s="12">
        <v>9</v>
      </c>
      <c r="H29" s="32">
        <v>0.2</v>
      </c>
      <c r="I29" s="8" t="s">
        <v>92</v>
      </c>
      <c r="J29" s="8" t="s">
        <v>88</v>
      </c>
      <c r="K29" s="8" t="s">
        <v>74</v>
      </c>
      <c r="L29" s="8">
        <v>2026</v>
      </c>
    </row>
    <row r="30" spans="1:12" ht="14.4" x14ac:dyDescent="0.25">
      <c r="A30" s="8" t="s">
        <v>119</v>
      </c>
      <c r="B30" s="8" t="s">
        <v>120</v>
      </c>
      <c r="C30" s="9" t="s">
        <v>118</v>
      </c>
      <c r="D30" s="9">
        <v>1019925027</v>
      </c>
      <c r="E30" s="10">
        <v>296489.83343023254</v>
      </c>
      <c r="F30" s="11">
        <v>0.18</v>
      </c>
      <c r="G30" s="12">
        <v>8</v>
      </c>
      <c r="H30" s="11">
        <v>0.8</v>
      </c>
      <c r="I30" s="8" t="s">
        <v>67</v>
      </c>
      <c r="J30" s="8" t="s">
        <v>78</v>
      </c>
      <c r="K30" s="8" t="s">
        <v>74</v>
      </c>
      <c r="L30" s="8">
        <v>2026</v>
      </c>
    </row>
    <row r="31" spans="1:12" ht="14.4" x14ac:dyDescent="0.25">
      <c r="A31" s="8" t="s">
        <v>124</v>
      </c>
      <c r="B31" s="8" t="s">
        <v>125</v>
      </c>
      <c r="C31" s="9" t="s">
        <v>126</v>
      </c>
      <c r="D31" s="9">
        <v>1005495400</v>
      </c>
      <c r="E31" s="10">
        <v>292295.17441860464</v>
      </c>
      <c r="F31" s="11">
        <v>0.18</v>
      </c>
      <c r="G31" s="12">
        <v>12</v>
      </c>
      <c r="H31" s="11">
        <v>0.2</v>
      </c>
      <c r="I31" s="8" t="s">
        <v>92</v>
      </c>
      <c r="J31" s="8" t="s">
        <v>78</v>
      </c>
      <c r="K31" s="8" t="s">
        <v>74</v>
      </c>
      <c r="L31" s="8">
        <v>2026</v>
      </c>
    </row>
    <row r="32" spans="1:12" ht="26.4" x14ac:dyDescent="0.25">
      <c r="A32" s="13" t="s">
        <v>131</v>
      </c>
      <c r="B32" s="13" t="s">
        <v>111</v>
      </c>
      <c r="C32" s="14" t="s">
        <v>91</v>
      </c>
      <c r="D32" s="14">
        <v>9400000</v>
      </c>
      <c r="E32" s="10">
        <v>2937.5</v>
      </c>
      <c r="F32" s="11">
        <v>0.18</v>
      </c>
      <c r="G32" s="12">
        <v>12</v>
      </c>
      <c r="H32" s="11">
        <v>0.2</v>
      </c>
      <c r="I32" s="8" t="s">
        <v>92</v>
      </c>
      <c r="J32" s="8" t="s">
        <v>132</v>
      </c>
      <c r="K32" s="8" t="s">
        <v>74</v>
      </c>
      <c r="L32" s="8">
        <v>2026</v>
      </c>
    </row>
    <row r="33" spans="1:12" ht="28.8" x14ac:dyDescent="0.25">
      <c r="A33" s="8" t="s">
        <v>143</v>
      </c>
      <c r="B33" s="8" t="s">
        <v>144</v>
      </c>
      <c r="C33" s="9" t="s">
        <v>85</v>
      </c>
      <c r="D33" s="9">
        <v>1922751725</v>
      </c>
      <c r="E33" s="10">
        <v>558939.45494186052</v>
      </c>
      <c r="F33" s="11">
        <v>0.18</v>
      </c>
      <c r="G33" s="12">
        <v>10</v>
      </c>
      <c r="H33" s="11">
        <v>0.6</v>
      </c>
      <c r="I33" s="8" t="s">
        <v>102</v>
      </c>
      <c r="J33" s="8" t="s">
        <v>96</v>
      </c>
      <c r="K33" s="8" t="s">
        <v>74</v>
      </c>
      <c r="L33" s="8">
        <v>2026</v>
      </c>
    </row>
    <row r="34" spans="1:12" ht="26.4" x14ac:dyDescent="0.25">
      <c r="A34" s="19" t="s">
        <v>155</v>
      </c>
      <c r="B34" s="19" t="s">
        <v>156</v>
      </c>
      <c r="C34" s="20" t="s">
        <v>66</v>
      </c>
      <c r="D34" s="20"/>
      <c r="E34" s="36" t="s">
        <v>157</v>
      </c>
      <c r="F34" s="11">
        <v>0.18</v>
      </c>
      <c r="G34" s="19">
        <v>10</v>
      </c>
      <c r="H34" s="21">
        <v>0.4</v>
      </c>
      <c r="I34" s="8" t="s">
        <v>87</v>
      </c>
      <c r="J34" s="8" t="s">
        <v>68</v>
      </c>
      <c r="K34" s="8" t="s">
        <v>74</v>
      </c>
      <c r="L34" s="8">
        <v>2026</v>
      </c>
    </row>
    <row r="36" spans="1:12" x14ac:dyDescent="0.25">
      <c r="B36"/>
    </row>
    <row r="37" spans="1:12" x14ac:dyDescent="0.25">
      <c r="A37" t="s">
        <v>152</v>
      </c>
    </row>
    <row r="38" spans="1:12" ht="28.8" x14ac:dyDescent="0.25">
      <c r="A38" s="3" t="s">
        <v>54</v>
      </c>
      <c r="B38" s="3" t="s">
        <v>8</v>
      </c>
      <c r="C38" s="4" t="s">
        <v>55</v>
      </c>
      <c r="D38" s="5" t="s">
        <v>57</v>
      </c>
      <c r="E38" s="3" t="s">
        <v>58</v>
      </c>
      <c r="F38" s="6" t="s">
        <v>59</v>
      </c>
      <c r="G38" s="7" t="s">
        <v>60</v>
      </c>
      <c r="H38" s="3" t="s">
        <v>61</v>
      </c>
      <c r="I38" s="3" t="s">
        <v>62</v>
      </c>
      <c r="J38" s="3" t="s">
        <v>63</v>
      </c>
      <c r="K38" s="3" t="s">
        <v>9</v>
      </c>
      <c r="L38" s="3" t="s">
        <v>158</v>
      </c>
    </row>
    <row r="39" spans="1:12" ht="14.4" x14ac:dyDescent="0.25">
      <c r="A39" s="8" t="s">
        <v>64</v>
      </c>
      <c r="B39" s="41" t="s">
        <v>172</v>
      </c>
      <c r="C39" s="42"/>
      <c r="D39" s="29">
        <v>122366.6275</v>
      </c>
      <c r="E39" s="11">
        <v>0.18</v>
      </c>
      <c r="F39" s="12">
        <v>8</v>
      </c>
      <c r="G39" s="11">
        <v>0.8</v>
      </c>
      <c r="H39" s="43" t="s">
        <v>67</v>
      </c>
      <c r="I39" s="8" t="s">
        <v>68</v>
      </c>
      <c r="J39" s="8" t="s">
        <v>74</v>
      </c>
      <c r="K39" s="8" t="s">
        <v>70</v>
      </c>
      <c r="L39" s="8">
        <v>2026</v>
      </c>
    </row>
  </sheetData>
  <dataValidations count="1">
    <dataValidation type="list" allowBlank="1" showErrorMessage="1" sqref="H39 I23:I34 I15:I18" xr:uid="{ED64C170-13CA-4026-B01F-88EDCC99F72F}">
      <formula1>"Postpuesto,Perdido,Negociación,Vendido,En análisis,Prospecto,En proceso de cotización,Cancelado"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PIPELINE</vt:lpstr>
      <vt:lpstr>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Rodriguez Allca</cp:lastModifiedBy>
  <dcterms:created xsi:type="dcterms:W3CDTF">2026-08-03T06:11:54Z</dcterms:created>
  <dcterms:modified xsi:type="dcterms:W3CDTF">2026-08-09T19:36:54Z</dcterms:modified>
</cp:coreProperties>
</file>